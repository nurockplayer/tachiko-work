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R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<sst xmlns="http://schemas.openxmlformats.org/spreadsheetml/2006/main" count="22" uniqueCount="18">
  <si>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Item</t>
  </si>
  <si>
    <t xml:space="preserve">Amount</t>
  </si>
  <si>
    <t xml:space="preserve">Active</t>
  </si>
  <si>
    <t xml:space="preserve">Date</t>
  </si>
  <si>
    <t xml:space="preserve">Percent</t>
  </si>
  <si>
    <t xml:space="preserve">Currency</t>
  </si>
  <si>
    <t xml:space="preserve">Add</t>
  </si>
  <si>
    <t xml:space="preserve">Subtract</t>
  </si>
  <si>
    <t xml:space="preserve">Multiply</t>
  </si>
  <si>
    <t xml:space="preserve">Divide</t>
  </si>
  <si>
    <t xml:space="preserve">Minimum</t>
  </si>
  <si>
    <t xml:space="preserve">Maximum</t>
  </si>
  <si>
    <t xml:space="preserve">00123</t>
  </si>
  <si>
    <t xml:space="preserve">Transport</t>
  </si>
  <si>
    <t xml:space="preserve">Name</t>
  </si>
  <si>
    <t xml:space="preserve">Factor</t>
  </si>
  <si>
    <t xml:space="preserve">Base</t>
  </si>
  <si>
    <t xml:space="preserve">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</si>
</sst>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%"/>
    <numFmt numFmtId="168" formatCode="\$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8EC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L3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2" min="1" style="0" width="15"/>
  </ns0:cols>
  <ns0:sheetData>
    <ns0:row r="1" customFormat="false" ht="24" hidden="false" customHeight="true" outlineLevel="0" collapsed="false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  <ns0:c r="L1" s="1" t="s">
        <ns0:v>11</ns0:v>
      </ns0:c>
    </ns0:row>
    <ns0:row r="2" customFormat="false" ht="24" hidden="false" customHeight="true" outlineLevel="0" collapsed="false">
      <ns0:c r="A2" s="2" t="s">
        <ns0:v>12</ns0:v>
      </ns0:c>
      <ns0:c r="ZZZZZZZZZZZZ999999999" s="0" t="n">
        <ns0:v>120</ns0:v>
      </ns0:c>
      <ns0:c r="C2" s="3" t="b">
        <ns0:f aca="false">TRUE()</ns0:f>
        <ns0:v>1</ns0:v>
      </ns0:c>
      <ns0:c r="D2" s="4" t="n">
        <ns0:v>46270</ns0:v>
      </ns0:c>
      <ns0:c r="E2" s="5" t="n">
        <ns0:v>0.15</ns0:v>
      </ns0:c>
      <ns0:c r="F2" s="6" t="n">
        <ns0:v>120</ns0:v>
      </ns0:c>
      <ns0:c r="G2" s="0" t="n">
        <ns0:f aca="false">B2+B3</ns0:f>
        <ns0:v>160</ns0:v>
      </ns0:c>
      <ns0:c r="H2" s="0" t="n">
        <ns0:f aca="false">B2-B3</ns0:f>
        <ns0:v>80</ns0:v>
      </ns0:c>
      <ns0:c r="I2" s="0" t="n">
        <ns0:f aca="false">B2*Rates!$B$2</ns0:f>
        <ns0:v>240</ns0:v>
      </ns0:c>
      <ns0:c r="J2" s="0" t="n">
        <ns0:f aca="false">B2/Rates!$B$2</ns0:f>
        <ns0:v>60</ns0:v>
      </ns0:c>
      <ns0:c r="K2" s="0" t="n">
        <ns0:f aca="false">MIN(B2,B3)</ns0:f>
        <ns0:v>40</ns0:v>
      </ns0:c>
      <ns0:c r="L2" s="0" t="n">
        <ns0:f aca="false">MAX(B2,Rates!B3)</ns0:f>
        <ns0:v>200</ns0:v>
      </ns0:c>
    </ns0:row>
    <ns0:row r="3" customFormat="false" ht="24" hidden="false" customHeight="true" outlineLevel="0" collapsed="false">
      <ns0:c r="A3" s="0" t="s">
        <ns0:v>13</ns0:v>
      </ns0:c>
      <ns0:c r="B3" s="0" t="n">
        <ns0:v>40</ns0:v>
      </ns0:c>
      <ns0:c r="C3" s="3" t="b">
        <ns0:f aca="false">FALSE()</ns0:f>
        <ns0:v>0</ns0:v>
      </ns0:c>
      <ns0:c r="D3" s="4" t="n">
        <ns0:v>46270</ns0:v>
      </ns0:c>
      <ns0:c r="E3" s="5" t="n">
        <ns0:v>0.25</ns0:v>
      </ns0:c>
      <ns0:c r="F3" s="6" t="n">
        <ns0:v>40</ns0:v>
      </ns0:c>
      <ns0:c r="G3" s="0" t="n">
        <ns0:f aca="false">B3+Rates!$B$2</ns0:f>
        <ns0:v>42</ns0:v>
      </ns0:c>
      <ns0:c r="H3" s="0" t="n">
        <ns0:f aca="false">B3-Rates!$B$2</ns0:f>
        <ns0:v>38</ns0:v>
      </ns0:c>
      <ns0:c r="I3" s="0" t="n">
        <ns0:f aca="false">B3*Rates!$B$2</ns0:f>
        <ns0:v>80</ns0:v>
      </ns0:c>
      <ns0:c r="J3" s="0" t="n">
        <ns0:f aca="false">B3/Rates!$B$2</ns0:f>
        <ns0:v>20</ns0:v>
      </ns0:c>
      <ns0:c r="K3" s="0" t="n">
        <ns0:f aca="false">MIN(B3,Rates!B3)</ns0:f>
        <ns0:v>40</ns0:v>
      </ns0:c>
      <ns0:c r="L3" s="0" t="n">
        <ns0:f aca="false">MAX(B3,Rates!B3)</ns0:f>
        <ns0:v>200</ns0:v>
      </ns0:c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5"/>
  </cols>
  <sheetData>
    <row r="1" customFormat="false" ht="24" hidden="false" customHeight="true" outlineLevel="0" collapsed="false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0" t="s">
        <v>16</v>
      </c>
      <c r="B2" s="0" t="n">
        <v>2</v>
      </c>
      <c r="C2" s="3" t="b">
        <f aca="false">TRUE()</f>
        <v>1</v>
      </c>
      <c r="D2" s="4" t="n">
        <v>46270</v>
      </c>
      <c r="E2" s="5" t="n">
        <v>0.05</v>
      </c>
      <c r="F2" s="6" t="n">
        <v>10</v>
      </c>
    </row>
    <row r="3" customFormat="false" ht="24" hidden="false" customHeight="true" outlineLevel="0" collapsed="false">
      <c r="A3" s="0" t="s">
        <v>17</v>
      </c>
      <c r="B3" s="0" t="n">
        <v>200</v>
      </c>
      <c r="C3" s="3" t="b">
        <f aca="false">FALSE()</f>
        <v>0</v>
      </c>
      <c r="D3" s="4" t="n">
        <v>46270</v>
      </c>
      <c r="E3" s="5" t="n">
        <v>0.1</v>
      </c>
      <c r="F3" s="6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