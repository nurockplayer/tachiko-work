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184f4d612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1d84284d59cb4cb6"/>
    <x:sheet xmlns:r="http://schemas.openxmlformats.org/officeDocument/2006/relationships" name="Rates" sheetId="2" r:id="R32fab9d62088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%"/>
    <x:numFmt numFmtId="203" formatCode="&quot;$&quot;#,##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4787de4364756" /><Relationship Type="http://schemas.openxmlformats.org/officeDocument/2006/relationships/theme" Target="/xl/theme/theme1.xml" Id="R659d16e3197c4097" /><Relationship Type="http://schemas.microsoft.com/office/2022/11/relationships/FeaturePropertyBag" Target="/xl/featurePropertyBag/featurePropertyBag.xml" Id="R93af9d5a243e41ab" /><Relationship Type="http://schemas.openxmlformats.org/officeDocument/2006/relationships/sharedStrings" Target="/xl/sharedStrings.xml" Id="Rfeb0d437f9a7489f" /><Relationship Type="http://schemas.openxmlformats.org/officeDocument/2006/relationships/worksheet" Target="/xl/worksheets/sheet1.xml" Id="R1d84284d59cb4cb6" /><Relationship Type="http://schemas.openxmlformats.org/officeDocument/2006/relationships/worksheet" Target="/xl/worksheets/sheet2.xml" Id="R32fab9d620884e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4" t="str">
        <x:v>Item</x:v>
      </x:c>
      <x:c r="B1" s="4" t="str">
        <x:v>Amount</x:v>
      </x:c>
      <x:c r="C1" s="4" t="str">
        <x:v>Active</x:v>
      </x:c>
      <x:c r="D1" s="4" t="str">
        <x:v>Date</x:v>
      </x:c>
      <x:c r="E1" s="4" t="str">
        <x:v>Percent</x:v>
      </x:c>
      <x:c r="F1" s="4" t="str">
        <x:v>Currency</x:v>
      </x:c>
      <x:c r="G1" s="4" t="str">
        <x:v>Add</x:v>
      </x:c>
      <x:c r="H1" s="4" t="str">
        <x:v>Subtract</x:v>
      </x:c>
      <x:c r="I1" s="4" t="str">
        <x:v>Multiply</x:v>
      </x:c>
      <x:c r="J1" s="4" t="str">
        <x:v>Divide</x:v>
      </x:c>
      <x:c r="K1" s="4" t="str">
        <x:v>Minimum</x:v>
      </x:c>
      <x:c r="L1" s="4" t="str">
        <x:v>Maximum</x:v>
      </x:c>
    </x:row>
    <x:row r="2" ht="24" customHeight="1">
      <x:c r="A2" s="2" t="str">
        <x:v>00123</x:v>
      </x:c>
      <x:c r="B2" t="n">
        <x:v>120</x:v>
      </x:c>
      <x:c r="C2" s="1" t="b">
        <x:v>1</x:v>
      </x:c>
      <x:c r="D2" s="5" t="n">
        <x:v>46270</x:v>
      </x:c>
      <x:c r="E2" s="6" t="n">
        <x:v>0.15</x:v>
      </x:c>
      <x:c r="F2" s="7" t="n">
        <x:v>120</x:v>
      </x:c>
      <x:c r="G2" t="n">
        <x:f>B2+B3</x:f>
        <x:v>160</x:v>
      </x:c>
      <x:c r="H2" t="n">
        <x:f>B2-B3</x:f>
        <x:v>80</x:v>
      </x:c>
      <x:c r="I2" t="n">
        <x:f>B2*Rates!$B$2</x:f>
        <x:v>240</x:v>
      </x:c>
      <x:c r="J2" t="n">
        <x:f>B2/Rates!$B$2</x:f>
        <x:v>60</x:v>
      </x:c>
      <x:c r="K2" t="n">
        <x:f>MIN(B2,B3)</x:f>
        <x:v>40</x:v>
      </x:c>
      <x:c r="L2" t="n">
        <x:f>MAX(B2,Rates!B3)</x:f>
        <x:v>200</x:v>
      </x:c>
    </x:row>
    <x:row r="3" ht="24" customHeight="1">
      <x:c r="A3" t="str">
        <x:v>Transport</x:v>
      </x:c>
      <x:c r="B3" t="n">
        <x:v>40</x:v>
      </x:c>
      <x:c r="C3" s="1" t="b">
        <x:v>0</x:v>
      </x:c>
      <x:c r="D3" s="5" t="n">
        <x:v>46270</x:v>
      </x:c>
      <x:c r="E3" s="6" t="n">
        <x:v>0.25</x:v>
      </x:c>
      <x:c r="F3" s="7" t="n">
        <x:v>40</x:v>
      </x:c>
      <x:c r="G3" t="n">
        <x:f>B3+Rates!$B$2</x:f>
        <x:v>42</x:v>
      </x:c>
      <x:c r="H3" t="n">
        <x:f>B3-Rates!$B$2</x:f>
        <x:v>38</x:v>
      </x:c>
      <x:c r="I3" t="n">
        <x:f>B3*Rates!$B$2</x:f>
        <x:v>80</x:v>
      </x:c>
      <x:c r="J3" t="n">
        <x:f>B3/Rates!$B$2</x:f>
        <x:v>20</x:v>
      </x:c>
      <x:c r="K3" t="n">
        <x:f>MIN(B3,Rates!B3)</x:f>
        <x:v>40</x:v>
      </x:c>
      <x:c r="L3" t="n">
        <x:f>MAX(B3,Rates!B3)</x:f>
        <x:v>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4" customHeight="1">
      <x:c r="A1" s="4" t="str">
        <x:v>Name</x:v>
      </x:c>
      <x:c r="B1" s="4" t="str">
        <x:v>Factor</x:v>
      </x:c>
      <x:c r="C1" s="4" t="str">
        <x:v>Active</x:v>
      </x:c>
      <x:c r="D1" s="4" t="str">
        <x:v>Date</x:v>
      </x:c>
      <x:c r="E1" s="4" t="str">
        <x:v>Percent</x:v>
      </x:c>
      <x:c r="F1" s="4" t="str">
        <x:v>Currency</x:v>
      </x:c>
    </x:row>
    <x:row r="2" ht="24" customHeight="1">
      <x:c r="A2" t="str">
        <x:v>Base</x:v>
      </x:c>
      <x:c r="B2" t="n">
        <x:v>2</x:v>
      </x:c>
      <x:c r="C2" s="1" t="b">
        <x:v>1</x:v>
      </x:c>
      <x:c r="D2" s="5" t="n">
        <x:v>46270</x:v>
      </x:c>
      <x:c r="E2" s="6" t="n">
        <x:v>0.05</x:v>
      </x:c>
      <x:c r="F2" s="7" t="n">
        <x:v>10</x:v>
      </x:c>
    </x:row>
    <x:row r="3" ht="24" customHeight="1">
      <x:c r="A3" t="str">
        <x:v>Cap</x:v>
      </x:c>
      <x:c r="B3" t="n">
        <x:v>200</x:v>
      </x:c>
      <x:c r="C3" s="1" t="b">
        <x:v>0</x:v>
      </x:c>
      <x:c r="D3" s="5" t="n">
        <x:v>46270</x:v>
      </x:c>
      <x:c r="E3" s="6" t="n">
        <x:v>0.1</x:v>
      </x:c>
      <x:c r="F3" s="7" t="n">
        <x:v>20</x:v>
      </x:c>
    </x:row>
  </x:sheetData>
  <x:pageMargins left="0.7" right="0.7" top="0.75" bottom="0.75" header="0.3" footer="0.3"/>
</x:worksheet>
</file>