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 lowestEdited="4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Budget" sheetId="1" state="visible" ns1:id="rId3"/>
    <ns0:sheet name="Rates" sheetId="2" state="visible" ns1:id="rId4"/>
  </ns0:sheets>
  <ns0:calcPr iterateCount="100" refMode="A1" iterate="false" iterateDelta="0.001"/>
  <ns0:extLst>
    <ns0:ext uri="{7626C862-2A13-11E5-B345-FEFF819CDC9F}">
      <ns2:extCalcPr stringRefSyntax="CalcA1ExcelA1"/>
    </ns0:ext>
  </ns0:extLst>
  <ns0:definedNames>
    <ns0:definedName name="SyntheticBudgetAmount">Budget!$B$2</ns0:definedName>
  </ns0:definedNames>
</ns0: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<sst xmlns="http://schemas.openxmlformats.org/spreadsheetml/2006/main" count="22" uniqueCount="18">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</sst>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yntheticTable" displayName="SyntheticTable" ref="A1:L3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L3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2" min="1" style="0" width="15"/>
  </ns0:cols>
  <ns0:sheetData>
    <ns0:row r="1" customFormat="false" ht="24" hidden="false" customHeight="true" outlineLevel="0" collapsed="false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  <ns0:c r="L1" s="1" t="s">
        <ns0:v>11</ns0:v>
      </ns0:c>
    </ns0:row>
    <ns0:row r="2" customFormat="false" ht="24" hidden="false" customHeight="true" outlineLevel="0" collapsed="false">
      <ns0:c r="A2" s="2" t="s">
        <ns0:v>12</ns0:v>
      </ns0:c>
      <ns0:c r="B2" s="0" t="n">
        <ns0:v>120</ns0:v>
      </ns0:c>
      <ns0:c r="C2" s="3" t="b">
        <ns0:f aca="false">TRUE()</ns0:f>
        <ns0:v>1</ns0:v>
      </ns0:c>
      <ns0:c r="D2" s="4" t="n">
        <ns0:v>46270</ns0:v>
      </ns0:c>
      <ns0:c r="E2" s="5" t="n">
        <ns0:v>0.15</ns0:v>
      </ns0:c>
      <ns0:c r="F2" s="6" t="n">
        <ns0:v>120</ns0:v>
      </ns0:c>
      <ns0:c r="G2" s="0" t="n">
        <ns0:f aca="false">B2+B3</ns0:f>
        <ns0:v>160</ns0:v>
      </ns0:c>
      <ns0:c r="H2" s="0" t="n">
        <ns0:f aca="false">B2-B3</ns0:f>
        <ns0:v>80</ns0:v>
      </ns0:c>
      <ns0:c r="I2" s="0" t="n">
        <ns0:f aca="false">B2*Rates!$B$2</ns0:f>
        <ns0:v>240</ns0:v>
      </ns0:c>
      <ns0:c r="J2" s="0" t="n">
        <ns0:f aca="false">B2/Rates!$B$2</ns0:f>
        <ns0:v>60</ns0:v>
      </ns0:c>
      <ns0:c r="K2" s="0" t="n">
        <ns0:f aca="false">MIN(B2,B3)</ns0:f>
        <ns0:v>40</ns0:v>
      </ns0:c>
      <ns0:c r="L2" s="0" t="n">
        <ns0:f aca="false">MAX(B2,Rates!B3)</ns0:f>
        <ns0:v>200</ns0:v>
      </ns0:c>
    </ns0:row>
    <ns0:row r="3" customFormat="false" ht="24" hidden="false" customHeight="true" outlineLevel="0" collapsed="false">
      <ns0:c r="A3" s="0" t="s">
        <ns0:v>13</ns0:v>
      </ns0:c>
      <ns0:c r="B3" s="0" t="n">
        <ns0:v>40</ns0:v>
      </ns0:c>
      <ns0:c r="C3" s="3" t="b">
        <ns0:f aca="false">FALSE()</ns0:f>
        <ns0:v>0</ns0:v>
      </ns0:c>
      <ns0:c r="D3" s="4" t="n">
        <ns0:v>46270</ns0:v>
      </ns0:c>
      <ns0:c r="E3" s="5" t="n">
        <ns0:v>0.25</ns0:v>
      </ns0:c>
      <ns0:c r="F3" s="6" t="n">
        <ns0:v>40</ns0:v>
      </ns0:c>
      <ns0:c r="G3" s="0" t="n">
        <ns0:f aca="false">B3+Rates!$B$2</ns0:f>
        <ns0:v>42</ns0:v>
      </ns0:c>
      <ns0:c r="H3" s="0" t="n">
        <ns0:f aca="false">B3-Rates!$B$2</ns0:f>
        <ns0:v>38</ns0:v>
      </ns0:c>
      <ns0:c r="I3" s="0" t="n">
        <ns0:f aca="false">B3*Rates!$B$2</ns0:f>
        <ns0:v>80</ns0:v>
      </ns0:c>
      <ns0:c r="J3" s="0" t="n">
        <ns0:f aca="false">B3/Rates!$B$2</ns0:f>
        <ns0:v>20</ns0:v>
      </ns0:c>
      <ns0:c r="K3" s="0" t="n">
        <ns0:f aca="false">MIN(B3,Rates!B3)</ns0:f>
        <ns0:v>40</ns0:v>
      </ns0:c>
      <ns0:c r="L3" s="0" t="n">
        <ns0:f aca="false">MAX(B3,Rates!B3)</ns0:f>
        <ns0:v>200</ns0:v>
      </ns0:c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ataValidations count="1">
    <ns0:dataValidation type="whole" operator="between" sqref="B2:B3">
      <ns0:formula1>0</ns0:formula1>
      <ns0:formula2>1000</ns0:formula2>
    </ns0:dataValidation>
  </ns0:dataValidations>
  <ns0:autoFilter ref="A1:L3"/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